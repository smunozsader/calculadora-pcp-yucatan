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:\My Drive\2025. Rifles de Aire LEGALES PCP\"/>
    </mc:Choice>
  </mc:AlternateContent>
  <xr:revisionPtr revIDLastSave="0" documentId="8_{1C6AACE6-C6C9-46F5-900B-28E40CF4A3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r_fps_grains" sheetId="1" r:id="rId1"/>
    <sheet name="Por_ms_gram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" i="2" l="1"/>
  <c r="E50" i="2" s="1"/>
  <c r="D49" i="2"/>
  <c r="E49" i="2" s="1"/>
  <c r="D48" i="2"/>
  <c r="E48" i="2" s="1"/>
  <c r="D47" i="2"/>
  <c r="E47" i="2" s="1"/>
  <c r="D46" i="2"/>
  <c r="E46" i="2" s="1"/>
  <c r="D45" i="2"/>
  <c r="E45" i="2" s="1"/>
  <c r="D44" i="2"/>
  <c r="E44" i="2" s="1"/>
  <c r="D43" i="2"/>
  <c r="E43" i="2" s="1"/>
  <c r="D42" i="2"/>
  <c r="E42" i="2" s="1"/>
  <c r="D41" i="2"/>
  <c r="E41" i="2" s="1"/>
  <c r="D40" i="2"/>
  <c r="E40" i="2" s="1"/>
  <c r="D39" i="2"/>
  <c r="E39" i="2" s="1"/>
  <c r="D38" i="2"/>
  <c r="E38" i="2" s="1"/>
  <c r="D37" i="2"/>
  <c r="E37" i="2" s="1"/>
  <c r="D36" i="2"/>
  <c r="E36" i="2" s="1"/>
  <c r="D35" i="2"/>
  <c r="E35" i="2" s="1"/>
  <c r="D34" i="2"/>
  <c r="E34" i="2" s="1"/>
  <c r="D33" i="2"/>
  <c r="E33" i="2" s="1"/>
  <c r="D32" i="2"/>
  <c r="E32" i="2" s="1"/>
  <c r="D31" i="2"/>
  <c r="E31" i="2" s="1"/>
  <c r="D30" i="2"/>
  <c r="E30" i="2" s="1"/>
  <c r="D29" i="2"/>
  <c r="E29" i="2" s="1"/>
  <c r="D28" i="2"/>
  <c r="E28" i="2" s="1"/>
  <c r="D27" i="2"/>
  <c r="E27" i="2" s="1"/>
  <c r="D26" i="2"/>
  <c r="E26" i="2" s="1"/>
  <c r="D25" i="2"/>
  <c r="E25" i="2" s="1"/>
  <c r="D24" i="2"/>
  <c r="E24" i="2" s="1"/>
  <c r="D23" i="2"/>
  <c r="E23" i="2" s="1"/>
  <c r="D22" i="2"/>
  <c r="E22" i="2" s="1"/>
  <c r="D21" i="2"/>
  <c r="E21" i="2" s="1"/>
  <c r="D20" i="2"/>
  <c r="E20" i="2" s="1"/>
  <c r="D19" i="2"/>
  <c r="E19" i="2" s="1"/>
  <c r="D18" i="2"/>
  <c r="E18" i="2" s="1"/>
  <c r="D17" i="2"/>
  <c r="E17" i="2" s="1"/>
  <c r="D16" i="2"/>
  <c r="E16" i="2" s="1"/>
  <c r="D15" i="2"/>
  <c r="E15" i="2" s="1"/>
  <c r="D14" i="2"/>
  <c r="E14" i="2" s="1"/>
  <c r="D13" i="2"/>
  <c r="E13" i="2" s="1"/>
  <c r="D12" i="2"/>
  <c r="E12" i="2" s="1"/>
  <c r="D11" i="2"/>
  <c r="E11" i="2" s="1"/>
  <c r="D10" i="2"/>
  <c r="E10" i="2" s="1"/>
  <c r="D9" i="2"/>
  <c r="E9" i="2" s="1"/>
  <c r="D8" i="2"/>
  <c r="E8" i="2" s="1"/>
  <c r="D7" i="2"/>
  <c r="E7" i="2" s="1"/>
  <c r="D6" i="2"/>
  <c r="E6" i="2" s="1"/>
  <c r="D5" i="2"/>
  <c r="E5" i="2" s="1"/>
  <c r="D4" i="2"/>
  <c r="E4" i="2" s="1"/>
  <c r="D3" i="2"/>
  <c r="E3" i="2" s="1"/>
  <c r="D2" i="2"/>
  <c r="E2" i="2" s="1"/>
  <c r="D50" i="1"/>
  <c r="E50" i="1" s="1"/>
  <c r="D49" i="1"/>
  <c r="E49" i="1" s="1"/>
  <c r="D48" i="1"/>
  <c r="E48" i="1" s="1"/>
  <c r="D47" i="1"/>
  <c r="E47" i="1" s="1"/>
  <c r="D46" i="1"/>
  <c r="E46" i="1" s="1"/>
  <c r="D45" i="1"/>
  <c r="E45" i="1" s="1"/>
  <c r="D44" i="1"/>
  <c r="E44" i="1" s="1"/>
  <c r="D43" i="1"/>
  <c r="E43" i="1" s="1"/>
  <c r="D42" i="1"/>
  <c r="E42" i="1" s="1"/>
  <c r="D41" i="1"/>
  <c r="E41" i="1" s="1"/>
  <c r="D40" i="1"/>
  <c r="E40" i="1" s="1"/>
  <c r="D39" i="1"/>
  <c r="E39" i="1" s="1"/>
  <c r="D38" i="1"/>
  <c r="E38" i="1" s="1"/>
  <c r="D37" i="1"/>
  <c r="E37" i="1" s="1"/>
  <c r="D36" i="1"/>
  <c r="E36" i="1" s="1"/>
  <c r="D35" i="1"/>
  <c r="E35" i="1" s="1"/>
  <c r="D34" i="1"/>
  <c r="E34" i="1" s="1"/>
  <c r="D33" i="1"/>
  <c r="E33" i="1" s="1"/>
  <c r="D32" i="1"/>
  <c r="E32" i="1" s="1"/>
  <c r="D31" i="1"/>
  <c r="E31" i="1" s="1"/>
  <c r="D30" i="1"/>
  <c r="E30" i="1" s="1"/>
  <c r="D29" i="1"/>
  <c r="E29" i="1" s="1"/>
  <c r="D28" i="1"/>
  <c r="E28" i="1" s="1"/>
  <c r="D27" i="1"/>
  <c r="E27" i="1" s="1"/>
  <c r="D26" i="1"/>
  <c r="E26" i="1" s="1"/>
  <c r="D25" i="1"/>
  <c r="E25" i="1" s="1"/>
  <c r="D24" i="1"/>
  <c r="E24" i="1" s="1"/>
  <c r="D23" i="1"/>
  <c r="E23" i="1" s="1"/>
  <c r="D22" i="1"/>
  <c r="E22" i="1" s="1"/>
  <c r="D21" i="1"/>
  <c r="E21" i="1" s="1"/>
  <c r="D20" i="1"/>
  <c r="E20" i="1" s="1"/>
  <c r="D19" i="1"/>
  <c r="E19" i="1" s="1"/>
  <c r="D18" i="1"/>
  <c r="E18" i="1" s="1"/>
  <c r="D17" i="1"/>
  <c r="E17" i="1" s="1"/>
  <c r="D16" i="1"/>
  <c r="E16" i="1" s="1"/>
  <c r="D15" i="1"/>
  <c r="E15" i="1" s="1"/>
  <c r="D14" i="1"/>
  <c r="E14" i="1" s="1"/>
  <c r="D13" i="1"/>
  <c r="E13" i="1" s="1"/>
  <c r="D12" i="1"/>
  <c r="E12" i="1" s="1"/>
  <c r="D11" i="1"/>
  <c r="E11" i="1" s="1"/>
  <c r="D10" i="1"/>
  <c r="E10" i="1" s="1"/>
  <c r="D9" i="1"/>
  <c r="E9" i="1" s="1"/>
  <c r="D8" i="1"/>
  <c r="E8" i="1" s="1"/>
  <c r="D7" i="1"/>
  <c r="E7" i="1" s="1"/>
  <c r="D6" i="1"/>
  <c r="E6" i="1" s="1"/>
  <c r="D5" i="1"/>
  <c r="E5" i="1" s="1"/>
  <c r="D4" i="1"/>
  <c r="E4" i="1" s="1"/>
  <c r="D3" i="1"/>
  <c r="E3" i="1" s="1"/>
  <c r="D2" i="1"/>
  <c r="E2" i="1" s="1"/>
</calcChain>
</file>

<file path=xl/sharedStrings.xml><?xml version="1.0" encoding="utf-8"?>
<sst xmlns="http://schemas.openxmlformats.org/spreadsheetml/2006/main" count="18" uniqueCount="11">
  <si>
    <t>Calibre</t>
  </si>
  <si>
    <t>Peso_diabolo_grains</t>
  </si>
  <si>
    <t>Velocidad_fps</t>
  </si>
  <si>
    <t>Energia_J</t>
  </si>
  <si>
    <t>Registrable?</t>
  </si>
  <si>
    <t>4.5 mm (.177)</t>
  </si>
  <si>
    <t>5.5 mm (.22)</t>
  </si>
  <si>
    <t>6.35 mm (.25)</t>
  </si>
  <si>
    <t>7.62 mm (.30)</t>
  </si>
  <si>
    <t>Peso_diabolo_gramos</t>
  </si>
  <si>
    <t>Velocidad_m_s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</si>
</sst>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"/>
  <sheetViews>
    <sheetView tabSelected="1" workbookViewId="0">
      <selection activeCell="C6" sqref="C6"/>
    </sheetView>
  </sheetViews>
  <sheetFormatPr baseColWidth="10" defaultColWidth="8.88671875" defaultRowHeight="14.4" x14ac:dyDescent="0.3"/>
  <cols>
    <col min="1" max="1" width="12.21875" bestFit="1" customWidth="1"/>
    <col min="2" max="2" width="17.88671875" bestFit="1" customWidth="1"/>
    <col min="3" max="3" width="12.44140625" bestFit="1" customWidth="1"/>
    <col min="4" max="4" width="8.66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8</v>
      </c>
      <c r="C2">
        <v>900</v>
      </c>
      <c r="D2">
        <f t="shared" ref="D2:D33" si="0">0.000003010008*B2*C2^2</f>
        <v>19.504851840000001</v>
      </c>
      <c r="E2" t="str">
        <f t="shared" ref="E2:E33" si="1">IF(D2&gt;140,"REGISTRABLE (arma de fuego)","No registrable")</f>
        <v>No registrable</v>
      </c>
    </row>
    <row r="3" spans="1:5" x14ac:dyDescent="0.3">
      <c r="A3" t="s">
        <v>6</v>
      </c>
      <c r="B3">
        <v>16</v>
      </c>
      <c r="D3">
        <f t="shared" si="0"/>
        <v>0</v>
      </c>
      <c r="E3" t="str">
        <f t="shared" si="1"/>
        <v>No registrable</v>
      </c>
    </row>
    <row r="4" spans="1:5" x14ac:dyDescent="0.3">
      <c r="A4" t="s">
        <v>7</v>
      </c>
      <c r="B4">
        <v>25</v>
      </c>
      <c r="D4">
        <f t="shared" si="0"/>
        <v>0</v>
      </c>
      <c r="E4" t="str">
        <f t="shared" si="1"/>
        <v>No registrable</v>
      </c>
    </row>
    <row r="5" spans="1:5" x14ac:dyDescent="0.3">
      <c r="A5" t="s">
        <v>8</v>
      </c>
      <c r="B5">
        <v>44</v>
      </c>
      <c r="C5">
        <v>1200</v>
      </c>
      <c r="D5">
        <f t="shared" si="0"/>
        <v>190.71410688</v>
      </c>
      <c r="E5" t="str">
        <f t="shared" si="1"/>
        <v>REGISTRABLE (arma de fuego)</v>
      </c>
    </row>
    <row r="6" spans="1:5" x14ac:dyDescent="0.3">
      <c r="D6">
        <f t="shared" si="0"/>
        <v>0</v>
      </c>
      <c r="E6" t="str">
        <f t="shared" si="1"/>
        <v>No registrable</v>
      </c>
    </row>
    <row r="7" spans="1:5" x14ac:dyDescent="0.3">
      <c r="D7">
        <f t="shared" si="0"/>
        <v>0</v>
      </c>
      <c r="E7" t="str">
        <f t="shared" si="1"/>
        <v>No registrable</v>
      </c>
    </row>
    <row r="8" spans="1:5" x14ac:dyDescent="0.3">
      <c r="D8">
        <f t="shared" si="0"/>
        <v>0</v>
      </c>
      <c r="E8" t="str">
        <f t="shared" si="1"/>
        <v>No registrable</v>
      </c>
    </row>
    <row r="9" spans="1:5" x14ac:dyDescent="0.3">
      <c r="D9">
        <f t="shared" si="0"/>
        <v>0</v>
      </c>
      <c r="E9" t="str">
        <f t="shared" si="1"/>
        <v>No registrable</v>
      </c>
    </row>
    <row r="10" spans="1:5" x14ac:dyDescent="0.3">
      <c r="D10">
        <f t="shared" si="0"/>
        <v>0</v>
      </c>
      <c r="E10" t="str">
        <f t="shared" si="1"/>
        <v>No registrable</v>
      </c>
    </row>
    <row r="11" spans="1:5" x14ac:dyDescent="0.3">
      <c r="D11">
        <f t="shared" si="0"/>
        <v>0</v>
      </c>
      <c r="E11" t="str">
        <f t="shared" si="1"/>
        <v>No registrable</v>
      </c>
    </row>
    <row r="12" spans="1:5" x14ac:dyDescent="0.3">
      <c r="D12">
        <f t="shared" si="0"/>
        <v>0</v>
      </c>
      <c r="E12" t="str">
        <f t="shared" si="1"/>
        <v>No registrable</v>
      </c>
    </row>
    <row r="13" spans="1:5" x14ac:dyDescent="0.3">
      <c r="D13">
        <f t="shared" si="0"/>
        <v>0</v>
      </c>
      <c r="E13" t="str">
        <f t="shared" si="1"/>
        <v>No registrable</v>
      </c>
    </row>
    <row r="14" spans="1:5" x14ac:dyDescent="0.3">
      <c r="D14">
        <f t="shared" si="0"/>
        <v>0</v>
      </c>
      <c r="E14" t="str">
        <f t="shared" si="1"/>
        <v>No registrable</v>
      </c>
    </row>
    <row r="15" spans="1:5" x14ac:dyDescent="0.3">
      <c r="D15">
        <f t="shared" si="0"/>
        <v>0</v>
      </c>
      <c r="E15" t="str">
        <f t="shared" si="1"/>
        <v>No registrable</v>
      </c>
    </row>
    <row r="16" spans="1:5" x14ac:dyDescent="0.3">
      <c r="D16">
        <f t="shared" si="0"/>
        <v>0</v>
      </c>
      <c r="E16" t="str">
        <f t="shared" si="1"/>
        <v>No registrable</v>
      </c>
    </row>
    <row r="17" spans="4:5" x14ac:dyDescent="0.3">
      <c r="D17">
        <f t="shared" si="0"/>
        <v>0</v>
      </c>
      <c r="E17" t="str">
        <f t="shared" si="1"/>
        <v>No registrable</v>
      </c>
    </row>
    <row r="18" spans="4:5" x14ac:dyDescent="0.3">
      <c r="D18">
        <f t="shared" si="0"/>
        <v>0</v>
      </c>
      <c r="E18" t="str">
        <f t="shared" si="1"/>
        <v>No registrable</v>
      </c>
    </row>
    <row r="19" spans="4:5" x14ac:dyDescent="0.3">
      <c r="D19">
        <f t="shared" si="0"/>
        <v>0</v>
      </c>
      <c r="E19" t="str">
        <f t="shared" si="1"/>
        <v>No registrable</v>
      </c>
    </row>
    <row r="20" spans="4:5" x14ac:dyDescent="0.3">
      <c r="D20">
        <f t="shared" si="0"/>
        <v>0</v>
      </c>
      <c r="E20" t="str">
        <f t="shared" si="1"/>
        <v>No registrable</v>
      </c>
    </row>
    <row r="21" spans="4:5" x14ac:dyDescent="0.3">
      <c r="D21">
        <f t="shared" si="0"/>
        <v>0</v>
      </c>
      <c r="E21" t="str">
        <f t="shared" si="1"/>
        <v>No registrable</v>
      </c>
    </row>
    <row r="22" spans="4:5" x14ac:dyDescent="0.3">
      <c r="D22">
        <f t="shared" si="0"/>
        <v>0</v>
      </c>
      <c r="E22" t="str">
        <f t="shared" si="1"/>
        <v>No registrable</v>
      </c>
    </row>
    <row r="23" spans="4:5" x14ac:dyDescent="0.3">
      <c r="D23">
        <f t="shared" si="0"/>
        <v>0</v>
      </c>
      <c r="E23" t="str">
        <f t="shared" si="1"/>
        <v>No registrable</v>
      </c>
    </row>
    <row r="24" spans="4:5" x14ac:dyDescent="0.3">
      <c r="D24">
        <f t="shared" si="0"/>
        <v>0</v>
      </c>
      <c r="E24" t="str">
        <f t="shared" si="1"/>
        <v>No registrable</v>
      </c>
    </row>
    <row r="25" spans="4:5" x14ac:dyDescent="0.3">
      <c r="D25">
        <f t="shared" si="0"/>
        <v>0</v>
      </c>
      <c r="E25" t="str">
        <f t="shared" si="1"/>
        <v>No registrable</v>
      </c>
    </row>
    <row r="26" spans="4:5" x14ac:dyDescent="0.3">
      <c r="D26">
        <f t="shared" si="0"/>
        <v>0</v>
      </c>
      <c r="E26" t="str">
        <f t="shared" si="1"/>
        <v>No registrable</v>
      </c>
    </row>
    <row r="27" spans="4:5" x14ac:dyDescent="0.3">
      <c r="D27">
        <f t="shared" si="0"/>
        <v>0</v>
      </c>
      <c r="E27" t="str">
        <f t="shared" si="1"/>
        <v>No registrable</v>
      </c>
    </row>
    <row r="28" spans="4:5" x14ac:dyDescent="0.3">
      <c r="D28">
        <f t="shared" si="0"/>
        <v>0</v>
      </c>
      <c r="E28" t="str">
        <f t="shared" si="1"/>
        <v>No registrable</v>
      </c>
    </row>
    <row r="29" spans="4:5" x14ac:dyDescent="0.3">
      <c r="D29">
        <f t="shared" si="0"/>
        <v>0</v>
      </c>
      <c r="E29" t="str">
        <f t="shared" si="1"/>
        <v>No registrable</v>
      </c>
    </row>
    <row r="30" spans="4:5" x14ac:dyDescent="0.3">
      <c r="D30">
        <f t="shared" si="0"/>
        <v>0</v>
      </c>
      <c r="E30" t="str">
        <f t="shared" si="1"/>
        <v>No registrable</v>
      </c>
    </row>
    <row r="31" spans="4:5" x14ac:dyDescent="0.3">
      <c r="D31">
        <f t="shared" si="0"/>
        <v>0</v>
      </c>
      <c r="E31" t="str">
        <f t="shared" si="1"/>
        <v>No registrable</v>
      </c>
    </row>
    <row r="32" spans="4:5" x14ac:dyDescent="0.3">
      <c r="D32">
        <f t="shared" si="0"/>
        <v>0</v>
      </c>
      <c r="E32" t="str">
        <f t="shared" si="1"/>
        <v>No registrable</v>
      </c>
    </row>
    <row r="33" spans="4:5" x14ac:dyDescent="0.3">
      <c r="D33">
        <f t="shared" si="0"/>
        <v>0</v>
      </c>
      <c r="E33" t="str">
        <f t="shared" si="1"/>
        <v>No registrable</v>
      </c>
    </row>
    <row r="34" spans="4:5" x14ac:dyDescent="0.3">
      <c r="D34">
        <f t="shared" ref="D34:D65" si="2">0.000003010008*B34*C34^2</f>
        <v>0</v>
      </c>
      <c r="E34" t="str">
        <f t="shared" ref="E34:E65" si="3">IF(D34&gt;140,"REGISTRABLE (arma de fuego)","No registrable")</f>
        <v>No registrable</v>
      </c>
    </row>
    <row r="35" spans="4:5" x14ac:dyDescent="0.3">
      <c r="D35">
        <f t="shared" si="2"/>
        <v>0</v>
      </c>
      <c r="E35" t="str">
        <f t="shared" si="3"/>
        <v>No registrable</v>
      </c>
    </row>
    <row r="36" spans="4:5" x14ac:dyDescent="0.3">
      <c r="D36">
        <f t="shared" si="2"/>
        <v>0</v>
      </c>
      <c r="E36" t="str">
        <f t="shared" si="3"/>
        <v>No registrable</v>
      </c>
    </row>
    <row r="37" spans="4:5" x14ac:dyDescent="0.3">
      <c r="D37">
        <f t="shared" si="2"/>
        <v>0</v>
      </c>
      <c r="E37" t="str">
        <f t="shared" si="3"/>
        <v>No registrable</v>
      </c>
    </row>
    <row r="38" spans="4:5" x14ac:dyDescent="0.3">
      <c r="D38">
        <f t="shared" si="2"/>
        <v>0</v>
      </c>
      <c r="E38" t="str">
        <f t="shared" si="3"/>
        <v>No registrable</v>
      </c>
    </row>
    <row r="39" spans="4:5" x14ac:dyDescent="0.3">
      <c r="D39">
        <f t="shared" si="2"/>
        <v>0</v>
      </c>
      <c r="E39" t="str">
        <f t="shared" si="3"/>
        <v>No registrable</v>
      </c>
    </row>
    <row r="40" spans="4:5" x14ac:dyDescent="0.3">
      <c r="D40">
        <f t="shared" si="2"/>
        <v>0</v>
      </c>
      <c r="E40" t="str">
        <f t="shared" si="3"/>
        <v>No registrable</v>
      </c>
    </row>
    <row r="41" spans="4:5" x14ac:dyDescent="0.3">
      <c r="D41">
        <f t="shared" si="2"/>
        <v>0</v>
      </c>
      <c r="E41" t="str">
        <f t="shared" si="3"/>
        <v>No registrable</v>
      </c>
    </row>
    <row r="42" spans="4:5" x14ac:dyDescent="0.3">
      <c r="D42">
        <f t="shared" si="2"/>
        <v>0</v>
      </c>
      <c r="E42" t="str">
        <f t="shared" si="3"/>
        <v>No registrable</v>
      </c>
    </row>
    <row r="43" spans="4:5" x14ac:dyDescent="0.3">
      <c r="D43">
        <f t="shared" si="2"/>
        <v>0</v>
      </c>
      <c r="E43" t="str">
        <f t="shared" si="3"/>
        <v>No registrable</v>
      </c>
    </row>
    <row r="44" spans="4:5" x14ac:dyDescent="0.3">
      <c r="D44">
        <f t="shared" si="2"/>
        <v>0</v>
      </c>
      <c r="E44" t="str">
        <f t="shared" si="3"/>
        <v>No registrable</v>
      </c>
    </row>
    <row r="45" spans="4:5" x14ac:dyDescent="0.3">
      <c r="D45">
        <f t="shared" si="2"/>
        <v>0</v>
      </c>
      <c r="E45" t="str">
        <f t="shared" si="3"/>
        <v>No registrable</v>
      </c>
    </row>
    <row r="46" spans="4:5" x14ac:dyDescent="0.3">
      <c r="D46">
        <f t="shared" si="2"/>
        <v>0</v>
      </c>
      <c r="E46" t="str">
        <f t="shared" si="3"/>
        <v>No registrable</v>
      </c>
    </row>
    <row r="47" spans="4:5" x14ac:dyDescent="0.3">
      <c r="D47">
        <f t="shared" si="2"/>
        <v>0</v>
      </c>
      <c r="E47" t="str">
        <f t="shared" si="3"/>
        <v>No registrable</v>
      </c>
    </row>
    <row r="48" spans="4:5" x14ac:dyDescent="0.3">
      <c r="D48">
        <f t="shared" si="2"/>
        <v>0</v>
      </c>
      <c r="E48" t="str">
        <f t="shared" si="3"/>
        <v>No registrable</v>
      </c>
    </row>
    <row r="49" spans="4:5" x14ac:dyDescent="0.3">
      <c r="D49">
        <f t="shared" si="2"/>
        <v>0</v>
      </c>
      <c r="E49" t="str">
        <f t="shared" si="3"/>
        <v>No registrable</v>
      </c>
    </row>
    <row r="50" spans="4:5" x14ac:dyDescent="0.3">
      <c r="D50">
        <f t="shared" si="2"/>
        <v>0</v>
      </c>
      <c r="E50" t="str">
        <f t="shared" si="3"/>
        <v>No registrable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0"/>
  <sheetViews>
    <sheetView workbookViewId="0"/>
  </sheetViews>
  <sheetFormatPr baseColWidth="10" defaultColWidth="8.88671875" defaultRowHeight="14.4" x14ac:dyDescent="0.3"/>
  <sheetData>
    <row r="1" spans="1:5" x14ac:dyDescent="0.3">
      <c r="A1" t="s">
        <v>0</v>
      </c>
      <c r="B1" t="s">
        <v>9</v>
      </c>
      <c r="C1" t="s">
        <v>10</v>
      </c>
      <c r="D1" t="s">
        <v>3</v>
      </c>
      <c r="E1" t="s">
        <v>4</v>
      </c>
    </row>
    <row r="2" spans="1:5" x14ac:dyDescent="0.3">
      <c r="A2" t="s">
        <v>5</v>
      </c>
      <c r="B2">
        <v>0.52</v>
      </c>
      <c r="D2">
        <f t="shared" ref="D2:D33" si="0">0.5*(B2/1000)*C2^2</f>
        <v>0</v>
      </c>
      <c r="E2" t="str">
        <f t="shared" ref="E2:E33" si="1">IF(D2&gt;140,"REGISTRABLE (arma de fuego)","No registrable")</f>
        <v>No registrable</v>
      </c>
    </row>
    <row r="3" spans="1:5" x14ac:dyDescent="0.3">
      <c r="A3" t="s">
        <v>6</v>
      </c>
      <c r="B3">
        <v>1.04</v>
      </c>
      <c r="D3">
        <f t="shared" si="0"/>
        <v>0</v>
      </c>
      <c r="E3" t="str">
        <f t="shared" si="1"/>
        <v>No registrable</v>
      </c>
    </row>
    <row r="4" spans="1:5" x14ac:dyDescent="0.3">
      <c r="A4" t="s">
        <v>7</v>
      </c>
      <c r="B4">
        <v>1.62</v>
      </c>
      <c r="D4">
        <f t="shared" si="0"/>
        <v>0</v>
      </c>
      <c r="E4" t="str">
        <f t="shared" si="1"/>
        <v>No registrable</v>
      </c>
    </row>
    <row r="5" spans="1:5" x14ac:dyDescent="0.3">
      <c r="A5" t="s">
        <v>8</v>
      </c>
      <c r="B5">
        <v>2.85</v>
      </c>
      <c r="D5">
        <f t="shared" si="0"/>
        <v>0</v>
      </c>
      <c r="E5" t="str">
        <f t="shared" si="1"/>
        <v>No registrable</v>
      </c>
    </row>
    <row r="6" spans="1:5" x14ac:dyDescent="0.3">
      <c r="D6">
        <f t="shared" si="0"/>
        <v>0</v>
      </c>
      <c r="E6" t="str">
        <f t="shared" si="1"/>
        <v>No registrable</v>
      </c>
    </row>
    <row r="7" spans="1:5" x14ac:dyDescent="0.3">
      <c r="D7">
        <f t="shared" si="0"/>
        <v>0</v>
      </c>
      <c r="E7" t="str">
        <f t="shared" si="1"/>
        <v>No registrable</v>
      </c>
    </row>
    <row r="8" spans="1:5" x14ac:dyDescent="0.3">
      <c r="D8">
        <f t="shared" si="0"/>
        <v>0</v>
      </c>
      <c r="E8" t="str">
        <f t="shared" si="1"/>
        <v>No registrable</v>
      </c>
    </row>
    <row r="9" spans="1:5" x14ac:dyDescent="0.3">
      <c r="D9">
        <f t="shared" si="0"/>
        <v>0</v>
      </c>
      <c r="E9" t="str">
        <f t="shared" si="1"/>
        <v>No registrable</v>
      </c>
    </row>
    <row r="10" spans="1:5" x14ac:dyDescent="0.3">
      <c r="D10">
        <f t="shared" si="0"/>
        <v>0</v>
      </c>
      <c r="E10" t="str">
        <f t="shared" si="1"/>
        <v>No registrable</v>
      </c>
    </row>
    <row r="11" spans="1:5" x14ac:dyDescent="0.3">
      <c r="D11">
        <f t="shared" si="0"/>
        <v>0</v>
      </c>
      <c r="E11" t="str">
        <f t="shared" si="1"/>
        <v>No registrable</v>
      </c>
    </row>
    <row r="12" spans="1:5" x14ac:dyDescent="0.3">
      <c r="D12">
        <f t="shared" si="0"/>
        <v>0</v>
      </c>
      <c r="E12" t="str">
        <f t="shared" si="1"/>
        <v>No registrable</v>
      </c>
    </row>
    <row r="13" spans="1:5" x14ac:dyDescent="0.3">
      <c r="D13">
        <f t="shared" si="0"/>
        <v>0</v>
      </c>
      <c r="E13" t="str">
        <f t="shared" si="1"/>
        <v>No registrable</v>
      </c>
    </row>
    <row r="14" spans="1:5" x14ac:dyDescent="0.3">
      <c r="D14">
        <f t="shared" si="0"/>
        <v>0</v>
      </c>
      <c r="E14" t="str">
        <f t="shared" si="1"/>
        <v>No registrable</v>
      </c>
    </row>
    <row r="15" spans="1:5" x14ac:dyDescent="0.3">
      <c r="D15">
        <f t="shared" si="0"/>
        <v>0</v>
      </c>
      <c r="E15" t="str">
        <f t="shared" si="1"/>
        <v>No registrable</v>
      </c>
    </row>
    <row r="16" spans="1:5" x14ac:dyDescent="0.3">
      <c r="D16">
        <f t="shared" si="0"/>
        <v>0</v>
      </c>
      <c r="E16" t="str">
        <f t="shared" si="1"/>
        <v>No registrable</v>
      </c>
    </row>
    <row r="17" spans="4:5" x14ac:dyDescent="0.3">
      <c r="D17">
        <f t="shared" si="0"/>
        <v>0</v>
      </c>
      <c r="E17" t="str">
        <f t="shared" si="1"/>
        <v>No registrable</v>
      </c>
    </row>
    <row r="18" spans="4:5" x14ac:dyDescent="0.3">
      <c r="D18">
        <f t="shared" si="0"/>
        <v>0</v>
      </c>
      <c r="E18" t="str">
        <f t="shared" si="1"/>
        <v>No registrable</v>
      </c>
    </row>
    <row r="19" spans="4:5" x14ac:dyDescent="0.3">
      <c r="D19">
        <f t="shared" si="0"/>
        <v>0</v>
      </c>
      <c r="E19" t="str">
        <f t="shared" si="1"/>
        <v>No registrable</v>
      </c>
    </row>
    <row r="20" spans="4:5" x14ac:dyDescent="0.3">
      <c r="D20">
        <f t="shared" si="0"/>
        <v>0</v>
      </c>
      <c r="E20" t="str">
        <f t="shared" si="1"/>
        <v>No registrable</v>
      </c>
    </row>
    <row r="21" spans="4:5" x14ac:dyDescent="0.3">
      <c r="D21">
        <f t="shared" si="0"/>
        <v>0</v>
      </c>
      <c r="E21" t="str">
        <f t="shared" si="1"/>
        <v>No registrable</v>
      </c>
    </row>
    <row r="22" spans="4:5" x14ac:dyDescent="0.3">
      <c r="D22">
        <f t="shared" si="0"/>
        <v>0</v>
      </c>
      <c r="E22" t="str">
        <f t="shared" si="1"/>
        <v>No registrable</v>
      </c>
    </row>
    <row r="23" spans="4:5" x14ac:dyDescent="0.3">
      <c r="D23">
        <f t="shared" si="0"/>
        <v>0</v>
      </c>
      <c r="E23" t="str">
        <f t="shared" si="1"/>
        <v>No registrable</v>
      </c>
    </row>
    <row r="24" spans="4:5" x14ac:dyDescent="0.3">
      <c r="D24">
        <f t="shared" si="0"/>
        <v>0</v>
      </c>
      <c r="E24" t="str">
        <f t="shared" si="1"/>
        <v>No registrable</v>
      </c>
    </row>
    <row r="25" spans="4:5" x14ac:dyDescent="0.3">
      <c r="D25">
        <f t="shared" si="0"/>
        <v>0</v>
      </c>
      <c r="E25" t="str">
        <f t="shared" si="1"/>
        <v>No registrable</v>
      </c>
    </row>
    <row r="26" spans="4:5" x14ac:dyDescent="0.3">
      <c r="D26">
        <f t="shared" si="0"/>
        <v>0</v>
      </c>
      <c r="E26" t="str">
        <f t="shared" si="1"/>
        <v>No registrable</v>
      </c>
    </row>
    <row r="27" spans="4:5" x14ac:dyDescent="0.3">
      <c r="D27">
        <f t="shared" si="0"/>
        <v>0</v>
      </c>
      <c r="E27" t="str">
        <f t="shared" si="1"/>
        <v>No registrable</v>
      </c>
    </row>
    <row r="28" spans="4:5" x14ac:dyDescent="0.3">
      <c r="D28">
        <f t="shared" si="0"/>
        <v>0</v>
      </c>
      <c r="E28" t="str">
        <f t="shared" si="1"/>
        <v>No registrable</v>
      </c>
    </row>
    <row r="29" spans="4:5" x14ac:dyDescent="0.3">
      <c r="D29">
        <f t="shared" si="0"/>
        <v>0</v>
      </c>
      <c r="E29" t="str">
        <f t="shared" si="1"/>
        <v>No registrable</v>
      </c>
    </row>
    <row r="30" spans="4:5" x14ac:dyDescent="0.3">
      <c r="D30">
        <f t="shared" si="0"/>
        <v>0</v>
      </c>
      <c r="E30" t="str">
        <f t="shared" si="1"/>
        <v>No registrable</v>
      </c>
    </row>
    <row r="31" spans="4:5" x14ac:dyDescent="0.3">
      <c r="D31">
        <f t="shared" si="0"/>
        <v>0</v>
      </c>
      <c r="E31" t="str">
        <f t="shared" si="1"/>
        <v>No registrable</v>
      </c>
    </row>
    <row r="32" spans="4:5" x14ac:dyDescent="0.3">
      <c r="D32">
        <f t="shared" si="0"/>
        <v>0</v>
      </c>
      <c r="E32" t="str">
        <f t="shared" si="1"/>
        <v>No registrable</v>
      </c>
    </row>
    <row r="33" spans="4:5" x14ac:dyDescent="0.3">
      <c r="D33">
        <f t="shared" si="0"/>
        <v>0</v>
      </c>
      <c r="E33" t="str">
        <f t="shared" si="1"/>
        <v>No registrable</v>
      </c>
    </row>
    <row r="34" spans="4:5" x14ac:dyDescent="0.3">
      <c r="D34">
        <f t="shared" ref="D34:D65" si="2">0.5*(B34/1000)*C34^2</f>
        <v>0</v>
      </c>
      <c r="E34" t="str">
        <f t="shared" ref="E34:E65" si="3">IF(D34&gt;140,"REGISTRABLE (arma de fuego)","No registrable")</f>
        <v>No registrable</v>
      </c>
    </row>
    <row r="35" spans="4:5" x14ac:dyDescent="0.3">
      <c r="D35">
        <f t="shared" si="2"/>
        <v>0</v>
      </c>
      <c r="E35" t="str">
        <f t="shared" si="3"/>
        <v>No registrable</v>
      </c>
    </row>
    <row r="36" spans="4:5" x14ac:dyDescent="0.3">
      <c r="D36">
        <f t="shared" si="2"/>
        <v>0</v>
      </c>
      <c r="E36" t="str">
        <f t="shared" si="3"/>
        <v>No registrable</v>
      </c>
    </row>
    <row r="37" spans="4:5" x14ac:dyDescent="0.3">
      <c r="D37">
        <f t="shared" si="2"/>
        <v>0</v>
      </c>
      <c r="E37" t="str">
        <f t="shared" si="3"/>
        <v>No registrable</v>
      </c>
    </row>
    <row r="38" spans="4:5" x14ac:dyDescent="0.3">
      <c r="D38">
        <f t="shared" si="2"/>
        <v>0</v>
      </c>
      <c r="E38" t="str">
        <f t="shared" si="3"/>
        <v>No registrable</v>
      </c>
    </row>
    <row r="39" spans="4:5" x14ac:dyDescent="0.3">
      <c r="D39">
        <f t="shared" si="2"/>
        <v>0</v>
      </c>
      <c r="E39" t="str">
        <f t="shared" si="3"/>
        <v>No registrable</v>
      </c>
    </row>
    <row r="40" spans="4:5" x14ac:dyDescent="0.3">
      <c r="D40">
        <f t="shared" si="2"/>
        <v>0</v>
      </c>
      <c r="E40" t="str">
        <f t="shared" si="3"/>
        <v>No registrable</v>
      </c>
    </row>
    <row r="41" spans="4:5" x14ac:dyDescent="0.3">
      <c r="D41">
        <f t="shared" si="2"/>
        <v>0</v>
      </c>
      <c r="E41" t="str">
        <f t="shared" si="3"/>
        <v>No registrable</v>
      </c>
    </row>
    <row r="42" spans="4:5" x14ac:dyDescent="0.3">
      <c r="D42">
        <f t="shared" si="2"/>
        <v>0</v>
      </c>
      <c r="E42" t="str">
        <f t="shared" si="3"/>
        <v>No registrable</v>
      </c>
    </row>
    <row r="43" spans="4:5" x14ac:dyDescent="0.3">
      <c r="D43">
        <f t="shared" si="2"/>
        <v>0</v>
      </c>
      <c r="E43" t="str">
        <f t="shared" si="3"/>
        <v>No registrable</v>
      </c>
    </row>
    <row r="44" spans="4:5" x14ac:dyDescent="0.3">
      <c r="D44">
        <f t="shared" si="2"/>
        <v>0</v>
      </c>
      <c r="E44" t="str">
        <f t="shared" si="3"/>
        <v>No registrable</v>
      </c>
    </row>
    <row r="45" spans="4:5" x14ac:dyDescent="0.3">
      <c r="D45">
        <f t="shared" si="2"/>
        <v>0</v>
      </c>
      <c r="E45" t="str">
        <f t="shared" si="3"/>
        <v>No registrable</v>
      </c>
    </row>
    <row r="46" spans="4:5" x14ac:dyDescent="0.3">
      <c r="D46">
        <f t="shared" si="2"/>
        <v>0</v>
      </c>
      <c r="E46" t="str">
        <f t="shared" si="3"/>
        <v>No registrable</v>
      </c>
    </row>
    <row r="47" spans="4:5" x14ac:dyDescent="0.3">
      <c r="D47">
        <f t="shared" si="2"/>
        <v>0</v>
      </c>
      <c r="E47" t="str">
        <f t="shared" si="3"/>
        <v>No registrable</v>
      </c>
    </row>
    <row r="48" spans="4:5" x14ac:dyDescent="0.3">
      <c r="D48">
        <f t="shared" si="2"/>
        <v>0</v>
      </c>
      <c r="E48" t="str">
        <f t="shared" si="3"/>
        <v>No registrable</v>
      </c>
    </row>
    <row r="49" spans="4:5" x14ac:dyDescent="0.3">
      <c r="D49">
        <f t="shared" si="2"/>
        <v>0</v>
      </c>
      <c r="E49" t="str">
        <f t="shared" si="3"/>
        <v>No registrable</v>
      </c>
    </row>
    <row r="50" spans="4:5" x14ac:dyDescent="0.3">
      <c r="D50">
        <f t="shared" si="2"/>
        <v>0</v>
      </c>
      <c r="E50" t="str">
        <f t="shared" si="3"/>
        <v>No registrable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Por_fps_grains</vt:lpstr>
      <vt:lpstr>Por_ms_gramos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Sergio Muñoz de Alba Medrano</cp:lastModifiedBy>
  <dcterms:created xsi:type="dcterms:W3CDTF">2025-11-18T17:21:01Z</dcterms:created>
  <dcterms:modified xsi:type="dcterms:W3CDTF">2025-11-18T17:27:32Z</dcterms:modified>
</cp:coreProperties>
</file>